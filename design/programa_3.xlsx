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ocuments\ProcesosIngSoftware\Proyecto3\3A\design\"/>
    </mc:Choice>
  </mc:AlternateContent>
  <xr:revisionPtr revIDLastSave="0" documentId="13_ncr:1_{697B0D59-60B5-494A-A657-FA1B90C44016}" xr6:coauthVersionLast="47" xr6:coauthVersionMax="47" xr10:uidLastSave="{00000000-0000-0000-0000-000000000000}"/>
  <bookViews>
    <workbookView xWindow="-108" yWindow="-108" windowWidth="23256" windowHeight="13176" activeTab="3" xr2:uid="{DCBBB1F7-AC70-49E9-8AC3-68F3BC857E39}"/>
  </bookViews>
  <sheets>
    <sheet name="Sheet1" sheetId="1" r:id="rId1"/>
    <sheet name="Sheet2" sheetId="2" r:id="rId2"/>
    <sheet name="Sheet5" sheetId="5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6" l="1"/>
  <c r="F33" i="6"/>
  <c r="E33" i="6"/>
  <c r="D33" i="6"/>
  <c r="C33" i="6"/>
  <c r="B33" i="6"/>
  <c r="I33" i="6" s="1"/>
  <c r="J33" i="6" s="1"/>
  <c r="H32" i="6"/>
  <c r="F32" i="6"/>
  <c r="E32" i="6"/>
  <c r="C32" i="6"/>
  <c r="B32" i="6"/>
  <c r="G33" i="5"/>
  <c r="F33" i="5"/>
  <c r="E33" i="5"/>
  <c r="D33" i="5"/>
  <c r="C33" i="5"/>
  <c r="B33" i="5"/>
  <c r="I33" i="5" s="1"/>
  <c r="J33" i="5" s="1"/>
  <c r="F32" i="5"/>
  <c r="H32" i="5" s="1"/>
  <c r="B34" i="5" s="1"/>
  <c r="C37" i="5" s="1"/>
  <c r="E32" i="5"/>
  <c r="C32" i="5"/>
  <c r="B32" i="5"/>
  <c r="G33" i="2"/>
  <c r="E33" i="2"/>
  <c r="B33" i="2"/>
  <c r="F32" i="2"/>
  <c r="B32" i="2"/>
  <c r="E33" i="1"/>
  <c r="C33" i="1"/>
  <c r="B33" i="1"/>
  <c r="F32" i="1"/>
  <c r="E32" i="1"/>
  <c r="B32" i="1"/>
  <c r="D3" i="6"/>
  <c r="D4" i="6"/>
  <c r="D5" i="6"/>
  <c r="D6" i="6"/>
  <c r="B16" i="6" s="1"/>
  <c r="D7" i="6"/>
  <c r="D8" i="6"/>
  <c r="D9" i="6"/>
  <c r="D10" i="6"/>
  <c r="D11" i="6"/>
  <c r="D2" i="6"/>
  <c r="D13" i="6" s="1"/>
  <c r="E3" i="6"/>
  <c r="E4" i="6"/>
  <c r="E5" i="6"/>
  <c r="E6" i="6"/>
  <c r="E7" i="6"/>
  <c r="E8" i="6"/>
  <c r="E9" i="6"/>
  <c r="E10" i="6"/>
  <c r="E11" i="6"/>
  <c r="D12" i="6"/>
  <c r="B16" i="5"/>
  <c r="D12" i="5"/>
  <c r="C15" i="5"/>
  <c r="B15" i="5"/>
  <c r="E2" i="5"/>
  <c r="E3" i="5"/>
  <c r="E4" i="5"/>
  <c r="E5" i="5"/>
  <c r="E6" i="5"/>
  <c r="E7" i="5"/>
  <c r="E8" i="5"/>
  <c r="E9" i="5"/>
  <c r="E10" i="5"/>
  <c r="E11" i="5"/>
  <c r="F2" i="5"/>
  <c r="D3" i="5"/>
  <c r="D4" i="5"/>
  <c r="D5" i="5"/>
  <c r="D6" i="5"/>
  <c r="D7" i="5"/>
  <c r="D8" i="5"/>
  <c r="D9" i="5"/>
  <c r="D10" i="5"/>
  <c r="D11" i="5"/>
  <c r="D2" i="5"/>
  <c r="D19" i="6"/>
  <c r="B19" i="6"/>
  <c r="D15" i="6"/>
  <c r="C15" i="6"/>
  <c r="C13" i="6"/>
  <c r="B13" i="6"/>
  <c r="C16" i="6" s="1"/>
  <c r="C12" i="6"/>
  <c r="B12" i="6"/>
  <c r="F11" i="6"/>
  <c r="F10" i="6"/>
  <c r="F9" i="6"/>
  <c r="F8" i="6"/>
  <c r="F7" i="6"/>
  <c r="F6" i="6"/>
  <c r="F12" i="6" s="1"/>
  <c r="F5" i="6"/>
  <c r="F4" i="6"/>
  <c r="F3" i="6"/>
  <c r="F2" i="6"/>
  <c r="F13" i="6" s="1"/>
  <c r="E2" i="6"/>
  <c r="D19" i="5"/>
  <c r="B19" i="5"/>
  <c r="D15" i="5"/>
  <c r="D13" i="5"/>
  <c r="C13" i="5"/>
  <c r="B13" i="5"/>
  <c r="C16" i="5" s="1"/>
  <c r="C12" i="5"/>
  <c r="B12" i="5"/>
  <c r="F11" i="5"/>
  <c r="F10" i="5"/>
  <c r="F9" i="5"/>
  <c r="F8" i="5"/>
  <c r="F7" i="5"/>
  <c r="F6" i="5"/>
  <c r="F5" i="5"/>
  <c r="F4" i="5"/>
  <c r="F3" i="5"/>
  <c r="D19" i="2"/>
  <c r="B13" i="2"/>
  <c r="B19" i="2"/>
  <c r="C13" i="2"/>
  <c r="D15" i="2"/>
  <c r="C12" i="2"/>
  <c r="C15" i="2"/>
  <c r="E3" i="2"/>
  <c r="B15" i="2" s="1"/>
  <c r="E15" i="2" s="1"/>
  <c r="E4" i="2"/>
  <c r="E5" i="2"/>
  <c r="E6" i="2"/>
  <c r="E7" i="2"/>
  <c r="E8" i="2"/>
  <c r="E9" i="2"/>
  <c r="E10" i="2"/>
  <c r="E11" i="2"/>
  <c r="E2" i="2"/>
  <c r="E13" i="2" s="1"/>
  <c r="F2" i="2"/>
  <c r="F3" i="2"/>
  <c r="F4" i="2"/>
  <c r="F5" i="2"/>
  <c r="F6" i="2"/>
  <c r="F7" i="2"/>
  <c r="F8" i="2"/>
  <c r="F9" i="2"/>
  <c r="F10" i="2"/>
  <c r="F11" i="2"/>
  <c r="D13" i="2"/>
  <c r="D12" i="2"/>
  <c r="C33" i="2" s="1"/>
  <c r="B12" i="2"/>
  <c r="D33" i="2" s="1"/>
  <c r="A1" i="1" a="1"/>
  <c r="A1" i="1" s="1"/>
  <c r="B23" i="1"/>
  <c r="B20" i="1"/>
  <c r="D12" i="1"/>
  <c r="E15" i="1"/>
  <c r="E12" i="1"/>
  <c r="C32" i="1" s="1"/>
  <c r="H32" i="1" s="1"/>
  <c r="D13" i="1"/>
  <c r="E13" i="1"/>
  <c r="F13" i="1"/>
  <c r="F12" i="1"/>
  <c r="F33" i="1" s="1"/>
  <c r="C12" i="1"/>
  <c r="G33" i="1" s="1"/>
  <c r="B12" i="1"/>
  <c r="D33" i="1" s="1"/>
  <c r="C13" i="1"/>
  <c r="B13" i="1"/>
  <c r="C16" i="1" s="1"/>
  <c r="E16" i="1" s="1"/>
  <c r="C23" i="1" l="1"/>
  <c r="E23" i="1" s="1"/>
  <c r="B17" i="1"/>
  <c r="I33" i="1"/>
  <c r="J33" i="1" s="1"/>
  <c r="B34" i="1" s="1"/>
  <c r="C37" i="1" s="1"/>
  <c r="E12" i="2"/>
  <c r="C32" i="2" s="1"/>
  <c r="E32" i="2"/>
  <c r="C16" i="2"/>
  <c r="E16" i="2" s="1"/>
  <c r="H32" i="2"/>
  <c r="B34" i="6"/>
  <c r="C37" i="6" s="1"/>
  <c r="E16" i="6"/>
  <c r="B15" i="6"/>
  <c r="E15" i="6" s="1"/>
  <c r="E12" i="6"/>
  <c r="E16" i="5"/>
  <c r="F12" i="5"/>
  <c r="F13" i="5"/>
  <c r="E12" i="5"/>
  <c r="E15" i="5"/>
  <c r="E13" i="5"/>
  <c r="E13" i="6"/>
  <c r="F13" i="2"/>
  <c r="F12" i="2"/>
  <c r="F33" i="2" s="1"/>
  <c r="I33" i="2" s="1"/>
  <c r="J33" i="2" s="1"/>
  <c r="B34" i="2" s="1"/>
  <c r="C37" i="2" s="1"/>
  <c r="C19" i="2" l="1"/>
  <c r="B17" i="2"/>
  <c r="C23" i="2"/>
  <c r="B17" i="6"/>
  <c r="C19" i="6"/>
  <c r="C23" i="6"/>
  <c r="B17" i="5"/>
  <c r="C19" i="5"/>
  <c r="C23" i="5"/>
  <c r="B23" i="2" l="1"/>
  <c r="E23" i="2" s="1"/>
  <c r="B20" i="2"/>
  <c r="B20" i="6"/>
  <c r="B23" i="6"/>
  <c r="E23" i="6" s="1"/>
  <c r="B23" i="5"/>
  <c r="E23" i="5" s="1"/>
  <c r="B2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<sst xmlns="http://schemas.openxmlformats.org/spreadsheetml/2006/main" count="91" uniqueCount="19">
  <si>
    <t>x</t>
  </si>
  <si>
    <t>y</t>
  </si>
  <si>
    <t>x*x</t>
  </si>
  <si>
    <t>x*y</t>
  </si>
  <si>
    <t>y*y</t>
  </si>
  <si>
    <t>B1</t>
  </si>
  <si>
    <t>B0=</t>
  </si>
  <si>
    <t>promedio</t>
  </si>
  <si>
    <t>total (suma)</t>
  </si>
  <si>
    <t>XK</t>
  </si>
  <si>
    <t>valor a predecir</t>
  </si>
  <si>
    <t>YK</t>
  </si>
  <si>
    <t>N</t>
  </si>
  <si>
    <t>x=lineas de código</t>
  </si>
  <si>
    <t>y=horas estimadas</t>
  </si>
  <si>
    <t>r=</t>
  </si>
  <si>
    <t>"-"</t>
  </si>
  <si>
    <t>"="</t>
  </si>
  <si>
    <t>r*r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</si>
</sst>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4" borderId="3" applyNumberFormat="0" applyAlignment="0" applyProtection="0"/>
    <xf numFmtId="0" fontId="1" fillId="5" borderId="4" applyNumberFormat="0" applyFont="0" applyAlignment="0" applyProtection="0"/>
  </cellStyleXfs>
  <cellXfs count="10">
    <xf numFmtId="0" fontId="0" fillId="0" borderId="0" xfId="0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5" borderId="4" xfId="4" applyFont="1"/>
    <xf numFmtId="0" fontId="3" fillId="3" borderId="2" xfId="2"/>
    <xf numFmtId="0" fontId="4" fillId="4" borderId="3" xfId="3"/>
    <xf numFmtId="0" fontId="2" fillId="2" borderId="1" xfId="1" applyBorder="1"/>
  </cellXfs>
  <cellStyles count="5">
    <cellStyle name="Bueno" xfId="1" builtinId="26"/>
    <cellStyle name="Celda de comprobación" xfId="3" builtinId="23"/>
    <cellStyle name="Entrada" xfId="2" builtinId="20"/>
    <cellStyle name="Normal" xfId="0" builtinId="0"/>
    <cellStyle name="Notas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11</xdr:col>
      <xdr:colOff>99501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27218-89FA-4613-15B1-57A40C21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207949</xdr:colOff>
      <xdr:row>21</xdr:row>
      <xdr:rowOff>173433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470B7-3F5E-6117-3211-421260B9D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17</xdr:col>
      <xdr:colOff>341743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2972A2-657E-AAA9-CF73-29FD19F8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982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297000</xdr:colOff>
      <xdr:row>14</xdr:row>
      <xdr:rowOff>83940</xdr:rowOff>
    </xdr:from>
    <xdr:to>
      <xdr:col>0</xdr:col>
      <xdr:colOff>297360</xdr:colOff>
      <xdr:row>14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5119B38-523A-7A64-5CED-9B44FC758A64}"/>
                </a:ext>
              </a:extLst>
            </xdr14:cNvPr>
            <xdr14:cNvContentPartPr/>
          </xdr14:nvContentPartPr>
          <xdr14:nvPr macro=""/>
          <xdr14:xfrm>
            <a:off x="297000" y="26442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5119B38-523A-7A64-5CED-9B44FC758A6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0880" y="26381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198780</xdr:colOff>
      <xdr:row>10</xdr:row>
      <xdr:rowOff>159900</xdr:rowOff>
    </xdr:from>
    <xdr:to>
      <xdr:col>7</xdr:col>
      <xdr:colOff>602100</xdr:colOff>
      <xdr:row>15</xdr:row>
      <xdr:rowOff>31020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CAEA5BC-D70E-2580-6052-AFA53649029C}"/>
                </a:ext>
              </a:extLst>
            </xdr14:cNvPr>
            <xdr14:cNvContentPartPr/>
          </xdr14:nvContentPartPr>
          <xdr14:nvPr macro=""/>
          <xdr14:xfrm>
            <a:off x="3940200" y="1988700"/>
            <a:ext cx="1622520" cy="785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CAEA5BC-D70E-2580-6052-AFA53649029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34080" y="1982580"/>
              <a:ext cx="1634760" cy="79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404820</xdr:colOff>
      <xdr:row>19</xdr:row>
      <xdr:rowOff>1500</xdr:rowOff>
    </xdr:from>
    <xdr:to>
      <xdr:col>8</xdr:col>
      <xdr:colOff>533580</xdr:colOff>
      <xdr:row>20</xdr:row>
      <xdr:rowOff>46020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579F9E9-BC1F-9F9E-0489-894B7F9F7DD1}"/>
                </a:ext>
              </a:extLst>
            </xdr14:cNvPr>
            <xdr14:cNvContentPartPr/>
          </xdr14:nvContentPartPr>
          <xdr14:nvPr macro=""/>
          <xdr14:xfrm>
            <a:off x="3536640" y="3476220"/>
            <a:ext cx="2567160" cy="242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579F9E9-BC1F-9F9E-0489-894B7F9F7DD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30520" y="3470100"/>
              <a:ext cx="25794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72420</xdr:colOff>
      <xdr:row>23</xdr:row>
      <xdr:rowOff>42540</xdr:rowOff>
    </xdr:from>
    <xdr:to>
      <xdr:col>8</xdr:col>
      <xdr:colOff>594420</xdr:colOff>
      <xdr:row>26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C4280AC-3F50-7F94-4E92-DDADFAAA9C3B}"/>
                </a:ext>
              </a:extLst>
            </xdr14:cNvPr>
            <xdr14:cNvContentPartPr/>
          </xdr14:nvContentPartPr>
          <xdr14:nvPr macro=""/>
          <xdr14:xfrm>
            <a:off x="3813840" y="4248780"/>
            <a:ext cx="2350800" cy="567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C4280AC-3F50-7F94-4E92-DDADFAAA9C3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07720" y="4242660"/>
              <a:ext cx="2363040" cy="57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525780</xdr:colOff>
      <xdr:row>35</xdr:row>
      <xdr:rowOff>76200</xdr:rowOff>
    </xdr:from>
    <xdr:to>
      <xdr:col>14</xdr:col>
      <xdr:colOff>63653</xdr:colOff>
      <xdr:row>45</xdr:row>
      <xdr:rowOff>245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676FA-AACA-E32B-0957-3DA92C86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76800" y="6477000"/>
          <a:ext cx="5649113" cy="1752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12</xdr:col>
      <xdr:colOff>434781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5B751-D362-49D0-B09C-7F451DD5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22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276529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0B099-6AE5-427B-94E0-53C8E928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982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196963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E18470-100E-40A6-B7D1-F4922C3C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12</xdr:col>
      <xdr:colOff>452273</xdr:colOff>
      <xdr:row>45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F4ACB-7C17-4DB3-89C0-C323E201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583680"/>
          <a:ext cx="5649113" cy="1752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12</xdr:col>
      <xdr:colOff>366201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9A3B4-CA3F-4757-801B-2AECD51A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207949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9E0D1-C49A-4AC5-A1DD-932EBCA8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128383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540C1-8460-4D29-A122-F845CA5E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12</xdr:col>
      <xdr:colOff>383693</xdr:colOff>
      <xdr:row>45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A541A-8E92-4568-8DA3-B6205A90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583680"/>
          <a:ext cx="5649113" cy="1752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13</xdr:col>
      <xdr:colOff>114741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77A33-C2A5-4F56-B22A-44EFF1A94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352729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7C0D1-8B52-449E-9F39-53E22E96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486523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40E9E-1F29-4829-8C63-CC71510E5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13</xdr:col>
      <xdr:colOff>162713</xdr:colOff>
      <xdr:row>46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02E14D-AF14-460D-B046-FB487FB2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766560"/>
          <a:ext cx="5649113" cy="175284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09:46.4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25.6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4507 0 24575,'-3'1'0,"1"0"0,-1 1 0,1-1 0,0 0 0,0 1 0,0-1 0,0 1 0,0 0 0,0 0 0,0-1 0,0 1 0,1 1 0,-3 2 0,-3 3 0,-29 35 0,2 2 0,-53 89 0,12-16 0,54-91 0,-2-2 0,-1 0 0,0-1 0,-2-2 0,-30 21 0,-39 35 0,61-49 0,-1-1 0,-63 37 0,-85 34 0,47-26 0,-89 66 0,217-134 0,2-1 0,-52 36 0,-3-4 0,-111 51 0,-143 37 0,158-52 0,21-8 0,33-13 0,19-9 0,-184 70 0,160-64 0,48-21 0,-92 30 0,133-51 0,-206 67 0,180-57 0,0-2 0,-87 14 0,-36 10 0,145-32 0,0-2 0,0 0 0,-34 0 0,31-2 0,1 0 0,-38 9 0,23 0 0,-13 3 0,-71 28 0,109-37 0,0-1 0,-1 0 0,1-1 0,-1 0 0,1-1 0,-1-1 0,-23-1 0,-19 2 0,33 1 32,0 1 1,1 1-1,-36 14 0,34-11-530,0 0 0,-42 5 0,50-11-6328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29.5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7131 673 24575,'-24'-1'0,"0"-2"0,0-1 0,0 0 0,-22-9 0,-14-2 0,-244-59 0,-187-35 0,169 81 0,-1 26 0,55 1 0,-226-41 0,386 21 0,-166-55 0,168 43 0,-163-29 0,116 47 0,-278 8 0,240 9 0,-1505-2 0,1602-4 0,-103-18 0,60 5 0,15-4 0,75 13 0,23 3 0,0 1 0,-29 0 0,-75 6 0,-85-4 0,109-18 0,35 9 0,50 7 0,0 1 0,-22-1 0,19 3 0,7 2 0,0-2 0,0 1 0,0-2 0,0 0 0,0-1 0,-26-9 0,3-1-1365,21 8-5461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32.4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6530 1575 24575,'-19'-1'0,"0"-1"0,0 0 0,1-2 0,-1 0 0,-20-9 0,7 4 0,-747-269-1458,377 125 1196,-239-69 262,-11 40 0,171 99 203,-106-27 1314,123 4-1517,206 50 0,-41-27 0,228 58 0,40 13 0,-55-15 0,13 10 0,39 8 0,-1 1 0,-42-3 0,4 2 0,-1-3 0,1-3 0,-106-38 0,157 47 0,0 1 0,0 1 0,-1 1 0,-24-1 0,-93 6 0,50 0 0,68-2 0,-19 2 0,1-3 0,-1-2 0,-80-15 0,77 10 0,0 1 0,-1 2 0,1 3 0,-51 2 0,54 0 0,3-4-1365,24 0-5461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EB3F-C4AF-4FA6-863E-6AAB94C6B1FE}">
  <dimension ref="A1:J37"/>
  <sheetViews>
    <sheetView workbookViewId="0">
      <selection activeCell="I22" sqref="I22"/>
    </sheetView>
  </sheetViews>
  <sheetFormatPr baseColWidth="10" defaultColWidth="8.88671875" defaultRowHeight="14.4" x14ac:dyDescent="0.3"/>
  <cols>
    <col min="2" max="2" width="19" customWidth="1"/>
    <col min="9" max="9" width="24.77734375" customWidth="1"/>
    <col min="10" max="10" width="11" bestFit="1" customWidth="1"/>
  </cols>
  <sheetData>
    <row r="1" spans="1:8" x14ac:dyDescent="0.3">
      <c r="A1" s="6" t="e" cm="1">
        <f t="array" ref="A1">A1:O38n</f>
        <v>#NAME?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8" x14ac:dyDescent="0.3">
      <c r="A2" s="6">
        <v>1</v>
      </c>
      <c r="B2" s="6">
        <v>130</v>
      </c>
      <c r="C2" s="6">
        <v>186</v>
      </c>
      <c r="D2" s="6">
        <v>16900</v>
      </c>
      <c r="E2" s="6">
        <v>24180</v>
      </c>
      <c r="F2" s="6">
        <v>34596</v>
      </c>
    </row>
    <row r="3" spans="1:8" x14ac:dyDescent="0.3">
      <c r="A3" s="6">
        <v>2</v>
      </c>
      <c r="B3" s="6">
        <v>650</v>
      </c>
      <c r="C3" s="6">
        <v>699</v>
      </c>
      <c r="D3" s="6">
        <v>422500</v>
      </c>
      <c r="E3" s="6">
        <v>454350</v>
      </c>
      <c r="F3" s="6">
        <v>488601</v>
      </c>
    </row>
    <row r="4" spans="1:8" x14ac:dyDescent="0.3">
      <c r="A4" s="6">
        <v>3</v>
      </c>
      <c r="B4" s="6">
        <v>99</v>
      </c>
      <c r="C4" s="6">
        <v>132</v>
      </c>
      <c r="D4" s="6">
        <v>9801</v>
      </c>
      <c r="E4" s="6">
        <v>13068</v>
      </c>
      <c r="F4" s="6">
        <v>17424</v>
      </c>
      <c r="H4" t="s">
        <v>13</v>
      </c>
    </row>
    <row r="5" spans="1:8" x14ac:dyDescent="0.3">
      <c r="A5" s="6">
        <v>4</v>
      </c>
      <c r="B5" s="6">
        <v>150</v>
      </c>
      <c r="C5" s="6">
        <v>272</v>
      </c>
      <c r="D5" s="6">
        <v>22500</v>
      </c>
      <c r="E5" s="6">
        <v>40800</v>
      </c>
      <c r="F5" s="6">
        <v>73984</v>
      </c>
      <c r="H5" t="s">
        <v>14</v>
      </c>
    </row>
    <row r="6" spans="1:8" x14ac:dyDescent="0.3">
      <c r="A6" s="6">
        <v>5</v>
      </c>
      <c r="B6" s="6">
        <v>128</v>
      </c>
      <c r="C6" s="6">
        <v>291</v>
      </c>
      <c r="D6" s="6">
        <v>16384</v>
      </c>
      <c r="E6" s="6">
        <v>37248</v>
      </c>
      <c r="F6" s="6">
        <v>84681</v>
      </c>
    </row>
    <row r="7" spans="1:8" x14ac:dyDescent="0.3">
      <c r="A7" s="6">
        <v>6</v>
      </c>
      <c r="B7" s="6">
        <v>302</v>
      </c>
      <c r="C7" s="6">
        <v>331</v>
      </c>
      <c r="D7" s="6">
        <v>91204</v>
      </c>
      <c r="E7" s="6">
        <v>99962</v>
      </c>
      <c r="F7" s="6">
        <v>109561</v>
      </c>
    </row>
    <row r="8" spans="1:8" x14ac:dyDescent="0.3">
      <c r="A8" s="6">
        <v>7</v>
      </c>
      <c r="B8" s="6">
        <v>95</v>
      </c>
      <c r="C8" s="6">
        <v>199</v>
      </c>
      <c r="D8" s="6">
        <v>9025</v>
      </c>
      <c r="E8" s="6">
        <v>18905</v>
      </c>
      <c r="F8" s="6">
        <v>39601</v>
      </c>
    </row>
    <row r="9" spans="1:8" x14ac:dyDescent="0.3">
      <c r="A9" s="6">
        <v>8</v>
      </c>
      <c r="B9" s="6">
        <v>945</v>
      </c>
      <c r="C9" s="6">
        <v>1890</v>
      </c>
      <c r="D9" s="6">
        <v>893025</v>
      </c>
      <c r="E9" s="6">
        <v>1786050</v>
      </c>
      <c r="F9" s="6">
        <v>3572100</v>
      </c>
    </row>
    <row r="10" spans="1:8" x14ac:dyDescent="0.3">
      <c r="A10" s="6">
        <v>9</v>
      </c>
      <c r="B10" s="6">
        <v>368</v>
      </c>
      <c r="C10" s="6">
        <v>788</v>
      </c>
      <c r="D10" s="6">
        <v>135424</v>
      </c>
      <c r="E10" s="6">
        <v>289984</v>
      </c>
      <c r="F10" s="6">
        <v>620944</v>
      </c>
    </row>
    <row r="11" spans="1:8" x14ac:dyDescent="0.3">
      <c r="A11" s="6">
        <v>10</v>
      </c>
      <c r="B11" s="6">
        <v>961</v>
      </c>
      <c r="C11" s="6">
        <v>1601</v>
      </c>
      <c r="D11" s="6">
        <v>923521</v>
      </c>
      <c r="E11" s="6">
        <v>1538561</v>
      </c>
      <c r="F11" s="6">
        <v>2563201</v>
      </c>
    </row>
    <row r="12" spans="1:8" x14ac:dyDescent="0.3">
      <c r="A12" s="6" t="s">
        <v>8</v>
      </c>
      <c r="B12" s="6">
        <f>SUM(B2:B11)</f>
        <v>3828</v>
      </c>
      <c r="C12" s="6">
        <f>SUM(C2:C11)</f>
        <v>6389</v>
      </c>
      <c r="D12" s="6">
        <f t="shared" ref="D12:F12" si="0">SUM(D2:D11)</f>
        <v>2540284</v>
      </c>
      <c r="E12" s="6">
        <f>SUM(E2:E11)</f>
        <v>4303108</v>
      </c>
      <c r="F12" s="6">
        <f t="shared" si="0"/>
        <v>7604693</v>
      </c>
    </row>
    <row r="13" spans="1:8" x14ac:dyDescent="0.3">
      <c r="A13" s="6" t="s">
        <v>7</v>
      </c>
      <c r="B13" s="6">
        <f>AVERAGE(B2:B11)</f>
        <v>382.8</v>
      </c>
      <c r="C13" s="6">
        <f>AVERAGE(C2:C11)</f>
        <v>638.9</v>
      </c>
      <c r="D13" s="6">
        <f t="shared" ref="D13:F13" si="1">AVERAGE(D2:D11)</f>
        <v>254028.4</v>
      </c>
      <c r="E13" s="6">
        <f t="shared" si="1"/>
        <v>430310.8</v>
      </c>
      <c r="F13" s="6">
        <f t="shared" si="1"/>
        <v>760469.3</v>
      </c>
    </row>
    <row r="15" spans="1:8" x14ac:dyDescent="0.3">
      <c r="A15" s="7" t="s">
        <v>5</v>
      </c>
      <c r="B15" s="7">
        <v>4303108</v>
      </c>
      <c r="C15" s="7">
        <v>382.8</v>
      </c>
      <c r="D15" s="7">
        <v>6389</v>
      </c>
      <c r="E15" s="7">
        <f>B15-(C15*D15)</f>
        <v>1857398.7999999998</v>
      </c>
    </row>
    <row r="16" spans="1:8" x14ac:dyDescent="0.3">
      <c r="A16" s="7"/>
      <c r="B16" s="7">
        <v>2540284</v>
      </c>
      <c r="C16" s="7">
        <f>B13*B13</f>
        <v>146535.84</v>
      </c>
      <c r="D16" s="7"/>
      <c r="E16" s="7">
        <f>B16-(10*C16)</f>
        <v>1074925.6000000001</v>
      </c>
    </row>
    <row r="17" spans="1:10" x14ac:dyDescent="0.3">
      <c r="A17" s="7" t="s">
        <v>5</v>
      </c>
      <c r="B17" s="7">
        <f>E15/E16</f>
        <v>1.7279324262069855</v>
      </c>
      <c r="C17" s="7"/>
      <c r="D17" s="7"/>
      <c r="E17" s="7"/>
    </row>
    <row r="18" spans="1:10" ht="15" thickBot="1" x14ac:dyDescent="0.35"/>
    <row r="19" spans="1:10" ht="15.6" thickTop="1" thickBot="1" x14ac:dyDescent="0.35">
      <c r="A19" s="8" t="s">
        <v>6</v>
      </c>
      <c r="B19" s="8">
        <v>638.9</v>
      </c>
      <c r="C19" s="8">
        <v>1.727932</v>
      </c>
      <c r="D19" s="8">
        <v>382.8</v>
      </c>
    </row>
    <row r="20" spans="1:10" ht="15.6" thickTop="1" thickBot="1" x14ac:dyDescent="0.35">
      <c r="A20" s="8"/>
      <c r="B20" s="8">
        <f>B19-(C19*D19)</f>
        <v>-22.55236960000002</v>
      </c>
      <c r="C20" s="8"/>
      <c r="D20" s="8"/>
    </row>
    <row r="21" spans="1:10" ht="15" thickTop="1" x14ac:dyDescent="0.3"/>
    <row r="22" spans="1:10" x14ac:dyDescent="0.3">
      <c r="A22" s="2" t="s">
        <v>9</v>
      </c>
      <c r="B22" s="3">
        <v>386</v>
      </c>
      <c r="C22" s="2" t="s">
        <v>10</v>
      </c>
      <c r="D22" s="2"/>
      <c r="E22" s="3"/>
    </row>
    <row r="23" spans="1:10" x14ac:dyDescent="0.3">
      <c r="A23" s="3" t="s">
        <v>11</v>
      </c>
      <c r="B23" s="2">
        <f>B19-(C19*D19)</f>
        <v>-22.55236960000002</v>
      </c>
      <c r="C23" s="3">
        <f>E15/E16</f>
        <v>1.7279324262069855</v>
      </c>
      <c r="D23" s="3">
        <v>386</v>
      </c>
      <c r="E23" s="2">
        <f>B23+(C23*D23)</f>
        <v>644.42954691589637</v>
      </c>
    </row>
    <row r="32" spans="1:10" x14ac:dyDescent="0.3">
      <c r="A32" s="4" t="s">
        <v>15</v>
      </c>
      <c r="B32" s="4">
        <f>A11</f>
        <v>10</v>
      </c>
      <c r="C32" s="4">
        <f>E12</f>
        <v>4303108</v>
      </c>
      <c r="D32" s="4" t="s">
        <v>16</v>
      </c>
      <c r="E32" s="4">
        <f>B12</f>
        <v>3828</v>
      </c>
      <c r="F32" s="4">
        <f>C12</f>
        <v>6389</v>
      </c>
      <c r="G32" s="4" t="s">
        <v>17</v>
      </c>
      <c r="H32" s="4">
        <f>(B32*C32)-(E32*F32)</f>
        <v>18573988</v>
      </c>
      <c r="I32" s="4"/>
      <c r="J32" s="4"/>
    </row>
    <row r="33" spans="1:10" x14ac:dyDescent="0.3">
      <c r="A33" s="5"/>
      <c r="B33" s="1">
        <f>A11</f>
        <v>10</v>
      </c>
      <c r="C33" s="5">
        <f>D12</f>
        <v>2540284</v>
      </c>
      <c r="D33" s="1">
        <f>B12*B12</f>
        <v>14653584</v>
      </c>
      <c r="E33" s="5">
        <f>A11</f>
        <v>10</v>
      </c>
      <c r="F33" s="1">
        <f>F12</f>
        <v>7604693</v>
      </c>
      <c r="G33" s="5">
        <f>C12*C12</f>
        <v>40819321</v>
      </c>
      <c r="H33" s="1" t="s">
        <v>17</v>
      </c>
      <c r="I33" s="5">
        <f>(B33*C33-D33)*(E33*F33-G33)</f>
        <v>378670587408904</v>
      </c>
      <c r="J33" s="1">
        <f>SQRT(I33)</f>
        <v>19459460.100652948</v>
      </c>
    </row>
    <row r="34" spans="1:10" x14ac:dyDescent="0.3">
      <c r="A34" s="1" t="s">
        <v>15</v>
      </c>
      <c r="B34" s="5">
        <f>H32/J33</f>
        <v>0.95449657410468258</v>
      </c>
      <c r="C34" s="1"/>
      <c r="D34" s="5"/>
      <c r="E34" s="1"/>
      <c r="F34" s="5"/>
      <c r="G34" s="1"/>
      <c r="H34" s="5"/>
      <c r="I34" s="1"/>
      <c r="J34" s="5"/>
    </row>
    <row r="37" spans="1:10" x14ac:dyDescent="0.3">
      <c r="A37" s="1" t="s">
        <v>18</v>
      </c>
      <c r="B37" s="1" t="s">
        <v>17</v>
      </c>
      <c r="C37" s="1">
        <f>B34*B34</f>
        <v>0.9110637099775758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46B1-C8B1-43E8-8B42-2C45B3F772C1}">
  <dimension ref="A1:J37"/>
  <sheetViews>
    <sheetView topLeftCell="A26" workbookViewId="0">
      <selection activeCell="A32" sqref="A32:J34"/>
    </sheetView>
  </sheetViews>
  <sheetFormatPr baseColWidth="10" defaultColWidth="8.88671875" defaultRowHeight="14.4" x14ac:dyDescent="0.3"/>
  <cols>
    <col min="2" max="8" width="9" bestFit="1" customWidth="1"/>
    <col min="9" max="9" width="12" bestFit="1" customWidth="1"/>
    <col min="10" max="10" width="10" bestFit="1" customWidth="1"/>
  </cols>
  <sheetData>
    <row r="1" spans="1:9" x14ac:dyDescent="0.3">
      <c r="A1" s="6" t="s">
        <v>12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9" x14ac:dyDescent="0.3">
      <c r="A2" s="6">
        <v>1</v>
      </c>
      <c r="B2" s="6">
        <v>130</v>
      </c>
      <c r="C2" s="6">
        <v>15</v>
      </c>
      <c r="D2" s="6">
        <v>16900</v>
      </c>
      <c r="E2" s="6">
        <f>B2*C2</f>
        <v>1950</v>
      </c>
      <c r="F2" s="6">
        <f>C2*C2</f>
        <v>225</v>
      </c>
    </row>
    <row r="3" spans="1:9" x14ac:dyDescent="0.3">
      <c r="A3" s="6">
        <v>2</v>
      </c>
      <c r="B3" s="6">
        <v>650</v>
      </c>
      <c r="C3" s="6">
        <v>69.900000000000006</v>
      </c>
      <c r="D3" s="6">
        <v>422500</v>
      </c>
      <c r="E3" s="6">
        <f t="shared" ref="E3:E11" si="0">B3*C3</f>
        <v>45435.000000000007</v>
      </c>
      <c r="F3" s="6">
        <f t="shared" ref="F3:F11" si="1">C3*C3</f>
        <v>4886.0100000000011</v>
      </c>
      <c r="I3" t="s">
        <v>13</v>
      </c>
    </row>
    <row r="4" spans="1:9" x14ac:dyDescent="0.3">
      <c r="A4" s="6">
        <v>3</v>
      </c>
      <c r="B4" s="6">
        <v>99</v>
      </c>
      <c r="C4" s="6">
        <v>6.5</v>
      </c>
      <c r="D4" s="6">
        <v>9801</v>
      </c>
      <c r="E4" s="6">
        <f t="shared" si="0"/>
        <v>643.5</v>
      </c>
      <c r="F4" s="6">
        <f t="shared" si="1"/>
        <v>42.25</v>
      </c>
      <c r="I4" t="s">
        <v>14</v>
      </c>
    </row>
    <row r="5" spans="1:9" x14ac:dyDescent="0.3">
      <c r="A5" s="6">
        <v>4</v>
      </c>
      <c r="B5" s="6">
        <v>150</v>
      </c>
      <c r="C5" s="6">
        <v>22.4</v>
      </c>
      <c r="D5" s="6">
        <v>22500</v>
      </c>
      <c r="E5" s="6">
        <f t="shared" si="0"/>
        <v>3360</v>
      </c>
      <c r="F5" s="6">
        <f t="shared" si="1"/>
        <v>501.75999999999993</v>
      </c>
    </row>
    <row r="6" spans="1:9" x14ac:dyDescent="0.3">
      <c r="A6" s="6">
        <v>5</v>
      </c>
      <c r="B6" s="6">
        <v>128</v>
      </c>
      <c r="C6" s="6">
        <v>28.4</v>
      </c>
      <c r="D6" s="6">
        <v>16384</v>
      </c>
      <c r="E6" s="6">
        <f t="shared" si="0"/>
        <v>3635.2</v>
      </c>
      <c r="F6" s="6">
        <f t="shared" si="1"/>
        <v>806.56</v>
      </c>
    </row>
    <row r="7" spans="1:9" x14ac:dyDescent="0.3">
      <c r="A7" s="6">
        <v>6</v>
      </c>
      <c r="B7" s="6">
        <v>302</v>
      </c>
      <c r="C7" s="6">
        <v>65.900000000000006</v>
      </c>
      <c r="D7" s="6">
        <v>91204</v>
      </c>
      <c r="E7" s="6">
        <f t="shared" si="0"/>
        <v>19901.800000000003</v>
      </c>
      <c r="F7" s="6">
        <f t="shared" si="1"/>
        <v>4342.8100000000004</v>
      </c>
    </row>
    <row r="8" spans="1:9" x14ac:dyDescent="0.3">
      <c r="A8" s="6">
        <v>7</v>
      </c>
      <c r="B8" s="6">
        <v>95</v>
      </c>
      <c r="C8" s="6">
        <v>19.399999999999999</v>
      </c>
      <c r="D8" s="6">
        <v>9025</v>
      </c>
      <c r="E8" s="6">
        <f t="shared" si="0"/>
        <v>1842.9999999999998</v>
      </c>
      <c r="F8" s="6">
        <f t="shared" si="1"/>
        <v>376.35999999999996</v>
      </c>
    </row>
    <row r="9" spans="1:9" x14ac:dyDescent="0.3">
      <c r="A9" s="6">
        <v>8</v>
      </c>
      <c r="B9" s="6">
        <v>945</v>
      </c>
      <c r="C9" s="6">
        <v>198.7</v>
      </c>
      <c r="D9" s="6">
        <v>893025</v>
      </c>
      <c r="E9" s="6">
        <f t="shared" si="0"/>
        <v>187771.5</v>
      </c>
      <c r="F9" s="6">
        <f t="shared" si="1"/>
        <v>39481.689999999995</v>
      </c>
    </row>
    <row r="10" spans="1:9" x14ac:dyDescent="0.3">
      <c r="A10" s="6">
        <v>9</v>
      </c>
      <c r="B10" s="6">
        <v>368</v>
      </c>
      <c r="C10" s="6">
        <v>38.799999999999997</v>
      </c>
      <c r="D10" s="6">
        <v>135424</v>
      </c>
      <c r="E10" s="6">
        <f t="shared" si="0"/>
        <v>14278.4</v>
      </c>
      <c r="F10" s="6">
        <f t="shared" si="1"/>
        <v>1505.4399999999998</v>
      </c>
    </row>
    <row r="11" spans="1:9" x14ac:dyDescent="0.3">
      <c r="A11" s="6">
        <v>10</v>
      </c>
      <c r="B11" s="6">
        <v>961</v>
      </c>
      <c r="C11" s="6">
        <v>138.19999999999999</v>
      </c>
      <c r="D11" s="6">
        <v>923521</v>
      </c>
      <c r="E11" s="6">
        <f t="shared" si="0"/>
        <v>132810.19999999998</v>
      </c>
      <c r="F11" s="6">
        <f t="shared" si="1"/>
        <v>19099.239999999998</v>
      </c>
    </row>
    <row r="12" spans="1:9" x14ac:dyDescent="0.3">
      <c r="A12" s="6" t="s">
        <v>8</v>
      </c>
      <c r="B12" s="6">
        <f>SUM(B2:B11)</f>
        <v>3828</v>
      </c>
      <c r="C12" s="6">
        <f>SUM(C2:C11)</f>
        <v>603.20000000000005</v>
      </c>
      <c r="D12" s="6">
        <f t="shared" ref="D12:F12" si="2">SUM(D2:D11)</f>
        <v>2540284</v>
      </c>
      <c r="E12" s="6">
        <f>SUM(E2:E11)</f>
        <v>411628.6</v>
      </c>
      <c r="F12" s="6">
        <f t="shared" si="2"/>
        <v>71267.12</v>
      </c>
    </row>
    <row r="13" spans="1:9" x14ac:dyDescent="0.3">
      <c r="A13" s="6" t="s">
        <v>7</v>
      </c>
      <c r="B13" s="6">
        <f>AVERAGE(B2:B11)</f>
        <v>382.8</v>
      </c>
      <c r="C13" s="6">
        <f>AVERAGE(C2:C11)</f>
        <v>60.320000000000007</v>
      </c>
      <c r="D13" s="6">
        <f t="shared" ref="D13:F13" si="3">AVERAGE(D2:D11)</f>
        <v>254028.4</v>
      </c>
      <c r="E13" s="6">
        <f t="shared" si="3"/>
        <v>41162.86</v>
      </c>
      <c r="F13" s="6">
        <f t="shared" si="3"/>
        <v>7126.7119999999995</v>
      </c>
    </row>
    <row r="15" spans="1:9" x14ac:dyDescent="0.3">
      <c r="A15" t="s">
        <v>5</v>
      </c>
      <c r="B15">
        <f>SUM(E2:E11)</f>
        <v>411628.6</v>
      </c>
      <c r="C15">
        <f>AVERAGE(B2:B11)</f>
        <v>382.8</v>
      </c>
      <c r="D15">
        <f>SUM(C2:C11)</f>
        <v>603.20000000000005</v>
      </c>
      <c r="E15">
        <f>B15-(C15*D15)</f>
        <v>180723.63999999996</v>
      </c>
    </row>
    <row r="16" spans="1:9" x14ac:dyDescent="0.3">
      <c r="B16">
        <v>2540284</v>
      </c>
      <c r="C16">
        <f>B13*B13</f>
        <v>146535.84</v>
      </c>
      <c r="E16">
        <f>B16-(10*C16)</f>
        <v>1074925.6000000001</v>
      </c>
    </row>
    <row r="17" spans="1:10" x14ac:dyDescent="0.3">
      <c r="A17" t="s">
        <v>5</v>
      </c>
      <c r="B17">
        <f>E15/E16</f>
        <v>0.16812664988162895</v>
      </c>
    </row>
    <row r="19" spans="1:10" x14ac:dyDescent="0.3">
      <c r="A19" t="s">
        <v>6</v>
      </c>
      <c r="B19">
        <f>AVERAGE(C2:C11)</f>
        <v>60.320000000000007</v>
      </c>
      <c r="C19">
        <f>E15/E16</f>
        <v>0.16812664988162895</v>
      </c>
      <c r="D19">
        <f>AVERAGE(B2:B11)</f>
        <v>382.8</v>
      </c>
    </row>
    <row r="20" spans="1:10" x14ac:dyDescent="0.3">
      <c r="B20">
        <f>B19-(C19*D19)</f>
        <v>-4.0388815746875508</v>
      </c>
    </row>
    <row r="22" spans="1:10" x14ac:dyDescent="0.3">
      <c r="A22" t="s">
        <v>9</v>
      </c>
      <c r="B22">
        <v>386</v>
      </c>
      <c r="C22" t="s">
        <v>10</v>
      </c>
    </row>
    <row r="23" spans="1:10" x14ac:dyDescent="0.3">
      <c r="A23" t="s">
        <v>11</v>
      </c>
      <c r="B23">
        <f>B19-(C19*D19)</f>
        <v>-4.0388815746875508</v>
      </c>
      <c r="C23">
        <f>E15/E16</f>
        <v>0.16812664988162895</v>
      </c>
      <c r="D23">
        <v>386</v>
      </c>
      <c r="E23">
        <f>B23+C23*D23</f>
        <v>60.858005279621224</v>
      </c>
    </row>
    <row r="32" spans="1:10" x14ac:dyDescent="0.3">
      <c r="A32" s="7" t="s">
        <v>15</v>
      </c>
      <c r="B32" s="7">
        <f>A11</f>
        <v>10</v>
      </c>
      <c r="C32" s="7">
        <f>E12</f>
        <v>411628.6</v>
      </c>
      <c r="D32" s="7" t="s">
        <v>16</v>
      </c>
      <c r="E32" s="7">
        <f>B12</f>
        <v>3828</v>
      </c>
      <c r="F32" s="7">
        <f>C12</f>
        <v>603.20000000000005</v>
      </c>
      <c r="G32" s="7" t="s">
        <v>17</v>
      </c>
      <c r="H32" s="7">
        <f>(B32*C32)-(E32*F32)</f>
        <v>1807236.4</v>
      </c>
      <c r="I32" s="7"/>
      <c r="J32" s="7"/>
    </row>
    <row r="33" spans="1:10" x14ac:dyDescent="0.3">
      <c r="A33" s="7"/>
      <c r="B33" s="7">
        <f>A11</f>
        <v>10</v>
      </c>
      <c r="C33" s="7">
        <f>D12</f>
        <v>2540284</v>
      </c>
      <c r="D33" s="7">
        <f>B12*B12</f>
        <v>14653584</v>
      </c>
      <c r="E33" s="7">
        <f>A11</f>
        <v>10</v>
      </c>
      <c r="F33" s="7">
        <f>F12</f>
        <v>71267.12</v>
      </c>
      <c r="G33" s="7">
        <f>C12*C12</f>
        <v>363850.24000000005</v>
      </c>
      <c r="H33" s="7" t="s">
        <v>17</v>
      </c>
      <c r="I33" s="7">
        <f>(B33*C33-D33)*(E33*F33-G33)</f>
        <v>3749565797205.7588</v>
      </c>
      <c r="J33" s="7">
        <f>SQRT(I33)</f>
        <v>1936379.5591788711</v>
      </c>
    </row>
    <row r="34" spans="1:10" x14ac:dyDescent="0.3">
      <c r="A34" s="7" t="s">
        <v>15</v>
      </c>
      <c r="B34" s="7">
        <f>H32/J33</f>
        <v>0.93330689814055112</v>
      </c>
      <c r="C34" s="7"/>
      <c r="D34" s="7"/>
      <c r="E34" s="7"/>
      <c r="F34" s="7"/>
      <c r="G34" s="7"/>
      <c r="H34" s="7"/>
      <c r="I34" s="7"/>
      <c r="J34" s="7"/>
    </row>
    <row r="37" spans="1:10" x14ac:dyDescent="0.3">
      <c r="A37" s="1" t="s">
        <v>18</v>
      </c>
      <c r="B37" s="1" t="s">
        <v>17</v>
      </c>
      <c r="C37" s="1">
        <f>B34*B34</f>
        <v>0.87106176611673702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14E6-8090-4BD3-ABDA-2A9B6AA3F240}">
  <dimension ref="A1:J37"/>
  <sheetViews>
    <sheetView topLeftCell="A25" workbookViewId="0">
      <selection activeCell="A32" sqref="A32:J34"/>
    </sheetView>
  </sheetViews>
  <sheetFormatPr baseColWidth="10" defaultColWidth="8.88671875" defaultRowHeight="14.4" x14ac:dyDescent="0.3"/>
  <cols>
    <col min="2" max="8" width="9" bestFit="1" customWidth="1"/>
    <col min="9" max="9" width="12" bestFit="1" customWidth="1"/>
    <col min="10" max="10" width="11" bestFit="1" customWidth="1"/>
  </cols>
  <sheetData>
    <row r="1" spans="1:9" x14ac:dyDescent="0.3">
      <c r="A1" s="9" t="s">
        <v>12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9" x14ac:dyDescent="0.3">
      <c r="A2" s="9">
        <v>1</v>
      </c>
      <c r="B2" s="9">
        <v>163</v>
      </c>
      <c r="C2" s="9">
        <v>186</v>
      </c>
      <c r="D2" s="9">
        <f>B2*B2</f>
        <v>26569</v>
      </c>
      <c r="E2" s="9">
        <f>B2*C2</f>
        <v>30318</v>
      </c>
      <c r="F2" s="9">
        <f>C2*C2</f>
        <v>34596</v>
      </c>
    </row>
    <row r="3" spans="1:9" x14ac:dyDescent="0.3">
      <c r="A3" s="9">
        <v>2</v>
      </c>
      <c r="B3" s="9">
        <v>765</v>
      </c>
      <c r="C3" s="9">
        <v>699</v>
      </c>
      <c r="D3" s="9">
        <f t="shared" ref="D3:D11" si="0">B3*B3</f>
        <v>585225</v>
      </c>
      <c r="E3" s="9">
        <f t="shared" ref="E3:E11" si="1">B3*C3</f>
        <v>534735</v>
      </c>
      <c r="F3" s="9">
        <f t="shared" ref="F3:F11" si="2">C3*C3</f>
        <v>488601</v>
      </c>
      <c r="I3" t="s">
        <v>13</v>
      </c>
    </row>
    <row r="4" spans="1:9" x14ac:dyDescent="0.3">
      <c r="A4" s="9">
        <v>3</v>
      </c>
      <c r="B4" s="9">
        <v>141</v>
      </c>
      <c r="C4" s="9">
        <v>132</v>
      </c>
      <c r="D4" s="9">
        <f t="shared" si="0"/>
        <v>19881</v>
      </c>
      <c r="E4" s="9">
        <f t="shared" si="1"/>
        <v>18612</v>
      </c>
      <c r="F4" s="9">
        <f t="shared" si="2"/>
        <v>17424</v>
      </c>
      <c r="I4" t="s">
        <v>14</v>
      </c>
    </row>
    <row r="5" spans="1:9" x14ac:dyDescent="0.3">
      <c r="A5" s="9">
        <v>4</v>
      </c>
      <c r="B5" s="9">
        <v>166</v>
      </c>
      <c r="C5" s="9">
        <v>272</v>
      </c>
      <c r="D5" s="9">
        <f t="shared" si="0"/>
        <v>27556</v>
      </c>
      <c r="E5" s="9">
        <f t="shared" si="1"/>
        <v>45152</v>
      </c>
      <c r="F5" s="9">
        <f t="shared" si="2"/>
        <v>73984</v>
      </c>
    </row>
    <row r="6" spans="1:9" x14ac:dyDescent="0.3">
      <c r="A6" s="9">
        <v>5</v>
      </c>
      <c r="B6" s="9">
        <v>137</v>
      </c>
      <c r="C6" s="9">
        <v>291</v>
      </c>
      <c r="D6" s="9">
        <f t="shared" si="0"/>
        <v>18769</v>
      </c>
      <c r="E6" s="9">
        <f t="shared" si="1"/>
        <v>39867</v>
      </c>
      <c r="F6" s="9">
        <f t="shared" si="2"/>
        <v>84681</v>
      </c>
    </row>
    <row r="7" spans="1:9" x14ac:dyDescent="0.3">
      <c r="A7" s="9">
        <v>6</v>
      </c>
      <c r="B7" s="9">
        <v>355</v>
      </c>
      <c r="C7" s="9">
        <v>331</v>
      </c>
      <c r="D7" s="9">
        <f t="shared" si="0"/>
        <v>126025</v>
      </c>
      <c r="E7" s="9">
        <f t="shared" si="1"/>
        <v>117505</v>
      </c>
      <c r="F7" s="9">
        <f t="shared" si="2"/>
        <v>109561</v>
      </c>
    </row>
    <row r="8" spans="1:9" x14ac:dyDescent="0.3">
      <c r="A8" s="9">
        <v>7</v>
      </c>
      <c r="B8" s="9">
        <v>136</v>
      </c>
      <c r="C8" s="9">
        <v>199</v>
      </c>
      <c r="D8" s="9">
        <f t="shared" si="0"/>
        <v>18496</v>
      </c>
      <c r="E8" s="9">
        <f t="shared" si="1"/>
        <v>27064</v>
      </c>
      <c r="F8" s="9">
        <f t="shared" si="2"/>
        <v>39601</v>
      </c>
    </row>
    <row r="9" spans="1:9" x14ac:dyDescent="0.3">
      <c r="A9" s="9">
        <v>8</v>
      </c>
      <c r="B9" s="9">
        <v>1206</v>
      </c>
      <c r="C9" s="9">
        <v>1890</v>
      </c>
      <c r="D9" s="9">
        <f t="shared" si="0"/>
        <v>1454436</v>
      </c>
      <c r="E9" s="9">
        <f t="shared" si="1"/>
        <v>2279340</v>
      </c>
      <c r="F9" s="9">
        <f t="shared" si="2"/>
        <v>3572100</v>
      </c>
    </row>
    <row r="10" spans="1:9" x14ac:dyDescent="0.3">
      <c r="A10" s="9">
        <v>9</v>
      </c>
      <c r="B10" s="9">
        <v>433</v>
      </c>
      <c r="C10" s="9">
        <v>788</v>
      </c>
      <c r="D10" s="9">
        <f t="shared" si="0"/>
        <v>187489</v>
      </c>
      <c r="E10" s="9">
        <f t="shared" si="1"/>
        <v>341204</v>
      </c>
      <c r="F10" s="9">
        <f t="shared" si="2"/>
        <v>620944</v>
      </c>
    </row>
    <row r="11" spans="1:9" x14ac:dyDescent="0.3">
      <c r="A11" s="9">
        <v>10</v>
      </c>
      <c r="B11" s="9">
        <v>1130</v>
      </c>
      <c r="C11" s="9">
        <v>1601</v>
      </c>
      <c r="D11" s="9">
        <f t="shared" si="0"/>
        <v>1276900</v>
      </c>
      <c r="E11" s="9">
        <f t="shared" si="1"/>
        <v>1809130</v>
      </c>
      <c r="F11" s="9">
        <f t="shared" si="2"/>
        <v>2563201</v>
      </c>
    </row>
    <row r="12" spans="1:9" x14ac:dyDescent="0.3">
      <c r="A12" s="9" t="s">
        <v>8</v>
      </c>
      <c r="B12" s="9">
        <f>SUM(B2:B11)</f>
        <v>4632</v>
      </c>
      <c r="C12" s="9">
        <f>SUM(C2:C11)</f>
        <v>6389</v>
      </c>
      <c r="D12" s="9">
        <f>SUM(D2:D11)</f>
        <v>3741346</v>
      </c>
      <c r="E12" s="9">
        <f>SUM(E2:E11)</f>
        <v>5242927</v>
      </c>
      <c r="F12" s="9">
        <f t="shared" ref="F12" si="3">SUM(F2:F11)</f>
        <v>7604693</v>
      </c>
    </row>
    <row r="13" spans="1:9" x14ac:dyDescent="0.3">
      <c r="A13" s="9" t="s">
        <v>7</v>
      </c>
      <c r="B13" s="9">
        <f>AVERAGE(B2:B11)</f>
        <v>463.2</v>
      </c>
      <c r="C13" s="9">
        <f>AVERAGE(C2:C11)</f>
        <v>638.9</v>
      </c>
      <c r="D13" s="9">
        <f t="shared" ref="D13:F13" si="4">AVERAGE(D2:D11)</f>
        <v>374134.6</v>
      </c>
      <c r="E13" s="9">
        <f t="shared" si="4"/>
        <v>524292.69999999995</v>
      </c>
      <c r="F13" s="9">
        <f t="shared" si="4"/>
        <v>760469.3</v>
      </c>
    </row>
    <row r="15" spans="1:9" x14ac:dyDescent="0.3">
      <c r="A15" t="s">
        <v>5</v>
      </c>
      <c r="B15">
        <f>SUM(E2:E11)</f>
        <v>5242927</v>
      </c>
      <c r="C15">
        <f>AVERAGE(B2:B11)</f>
        <v>463.2</v>
      </c>
      <c r="D15">
        <f>SUM(C2:C11)</f>
        <v>6389</v>
      </c>
      <c r="E15">
        <f>B15-(C15*D15)</f>
        <v>2283542.2000000002</v>
      </c>
    </row>
    <row r="16" spans="1:9" x14ac:dyDescent="0.3">
      <c r="B16">
        <f>SUM(D2:D11)</f>
        <v>3741346</v>
      </c>
      <c r="C16">
        <f>B13*B13</f>
        <v>214554.23999999999</v>
      </c>
      <c r="E16">
        <f>B16-(10*C16)</f>
        <v>1595803.6</v>
      </c>
    </row>
    <row r="17" spans="1:10" x14ac:dyDescent="0.3">
      <c r="A17" t="s">
        <v>5</v>
      </c>
      <c r="B17">
        <f>E15/E16</f>
        <v>1.4309669435511989</v>
      </c>
    </row>
    <row r="19" spans="1:10" x14ac:dyDescent="0.3">
      <c r="A19" t="s">
        <v>6</v>
      </c>
      <c r="B19">
        <f>AVERAGE(C2:C11)</f>
        <v>638.9</v>
      </c>
      <c r="C19">
        <f>E15/E16</f>
        <v>1.4309669435511989</v>
      </c>
      <c r="D19">
        <f>AVERAGE(B2:B11)</f>
        <v>463.2</v>
      </c>
    </row>
    <row r="20" spans="1:10" x14ac:dyDescent="0.3">
      <c r="B20">
        <f>B19-(C19*D19)</f>
        <v>-23.92388825291539</v>
      </c>
    </row>
    <row r="22" spans="1:10" x14ac:dyDescent="0.3">
      <c r="A22" t="s">
        <v>9</v>
      </c>
      <c r="B22">
        <v>386</v>
      </c>
      <c r="C22" t="s">
        <v>10</v>
      </c>
    </row>
    <row r="23" spans="1:10" x14ac:dyDescent="0.3">
      <c r="A23" t="s">
        <v>11</v>
      </c>
      <c r="B23">
        <f>B19-(C19*D19)</f>
        <v>-23.92388825291539</v>
      </c>
      <c r="C23">
        <f>E15/E16</f>
        <v>1.4309669435511989</v>
      </c>
      <c r="D23">
        <v>386</v>
      </c>
      <c r="E23">
        <f>B23+C23*D23</f>
        <v>528.42935195784742</v>
      </c>
    </row>
    <row r="31" spans="1:10" ht="15" thickBot="1" x14ac:dyDescent="0.35"/>
    <row r="32" spans="1:10" ht="15.6" thickTop="1" thickBot="1" x14ac:dyDescent="0.35">
      <c r="A32" s="8" t="s">
        <v>15</v>
      </c>
      <c r="B32" s="8">
        <f>A11</f>
        <v>10</v>
      </c>
      <c r="C32" s="8">
        <f>E12</f>
        <v>5242927</v>
      </c>
      <c r="D32" s="8" t="s">
        <v>16</v>
      </c>
      <c r="E32" s="8">
        <f>B12</f>
        <v>4632</v>
      </c>
      <c r="F32" s="8">
        <f>C12</f>
        <v>6389</v>
      </c>
      <c r="G32" s="8" t="s">
        <v>17</v>
      </c>
      <c r="H32" s="8">
        <f>(B32*C32)-(E32*F32)</f>
        <v>22835422</v>
      </c>
      <c r="I32" s="8"/>
      <c r="J32" s="8"/>
    </row>
    <row r="33" spans="1:10" ht="15.6" thickTop="1" thickBot="1" x14ac:dyDescent="0.35">
      <c r="A33" s="8"/>
      <c r="B33" s="8">
        <f>A11</f>
        <v>10</v>
      </c>
      <c r="C33" s="8">
        <f>D12</f>
        <v>3741346</v>
      </c>
      <c r="D33" s="8">
        <f>B12*B12</f>
        <v>21455424</v>
      </c>
      <c r="E33" s="8">
        <f>A11</f>
        <v>10</v>
      </c>
      <c r="F33" s="8">
        <f>F12</f>
        <v>7604693</v>
      </c>
      <c r="G33" s="8">
        <f>C12*C12</f>
        <v>40819321</v>
      </c>
      <c r="H33" s="8" t="s">
        <v>17</v>
      </c>
      <c r="I33" s="8">
        <f>(B33*C33-D33)*(E33*F33-G33)</f>
        <v>562163452615924</v>
      </c>
      <c r="J33" s="8">
        <f>SQRT(I33)</f>
        <v>23709986.347864565</v>
      </c>
    </row>
    <row r="34" spans="1:10" ht="15.6" thickTop="1" thickBot="1" x14ac:dyDescent="0.35">
      <c r="A34" s="8" t="s">
        <v>15</v>
      </c>
      <c r="B34" s="8">
        <f>H32/J33</f>
        <v>0.96311409314905272</v>
      </c>
      <c r="C34" s="8"/>
      <c r="D34" s="8"/>
      <c r="E34" s="8"/>
      <c r="F34" s="8"/>
      <c r="G34" s="8"/>
      <c r="H34" s="8"/>
      <c r="I34" s="8"/>
      <c r="J34" s="8"/>
    </row>
    <row r="35" spans="1:10" ht="15" thickTop="1" x14ac:dyDescent="0.3"/>
    <row r="37" spans="1:10" x14ac:dyDescent="0.3">
      <c r="A37" s="1" t="s">
        <v>18</v>
      </c>
      <c r="B37" s="1" t="s">
        <v>17</v>
      </c>
      <c r="C37" s="1">
        <f>B34*B34</f>
        <v>0.92758875642232219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01F-FD0E-4BF7-96A1-1999D88B8317}">
  <dimension ref="A1:J37"/>
  <sheetViews>
    <sheetView tabSelected="1" workbookViewId="0">
      <selection activeCell="Q23" sqref="Q23"/>
    </sheetView>
  </sheetViews>
  <sheetFormatPr baseColWidth="10" defaultColWidth="8.88671875" defaultRowHeight="14.4" x14ac:dyDescent="0.3"/>
  <sheetData>
    <row r="1" spans="1:9" x14ac:dyDescent="0.3">
      <c r="A1" s="7" t="s">
        <v>12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9" x14ac:dyDescent="0.3">
      <c r="A2" s="7">
        <v>1</v>
      </c>
      <c r="B2" s="7">
        <v>163</v>
      </c>
      <c r="C2" s="7">
        <v>15</v>
      </c>
      <c r="D2" s="7">
        <f>B2*B2</f>
        <v>26569</v>
      </c>
      <c r="E2" s="7">
        <f>B2*C2</f>
        <v>2445</v>
      </c>
      <c r="F2" s="7">
        <f>C2*C2</f>
        <v>225</v>
      </c>
    </row>
    <row r="3" spans="1:9" x14ac:dyDescent="0.3">
      <c r="A3" s="7">
        <v>2</v>
      </c>
      <c r="B3" s="7">
        <v>765</v>
      </c>
      <c r="C3" s="7">
        <v>69.900000000000006</v>
      </c>
      <c r="D3" s="7">
        <f t="shared" ref="D3:D11" si="0">B3*B3</f>
        <v>585225</v>
      </c>
      <c r="E3" s="7">
        <f t="shared" ref="E3:E11" si="1">B3*C3</f>
        <v>53473.500000000007</v>
      </c>
      <c r="F3" s="7">
        <f t="shared" ref="F3:F11" si="2">C3*C3</f>
        <v>4886.0100000000011</v>
      </c>
      <c r="I3" t="s">
        <v>13</v>
      </c>
    </row>
    <row r="4" spans="1:9" x14ac:dyDescent="0.3">
      <c r="A4" s="7">
        <v>3</v>
      </c>
      <c r="B4" s="7">
        <v>141</v>
      </c>
      <c r="C4" s="7">
        <v>6.5</v>
      </c>
      <c r="D4" s="7">
        <f t="shared" si="0"/>
        <v>19881</v>
      </c>
      <c r="E4" s="7">
        <f t="shared" si="1"/>
        <v>916.5</v>
      </c>
      <c r="F4" s="7">
        <f t="shared" si="2"/>
        <v>42.25</v>
      </c>
      <c r="I4" t="s">
        <v>14</v>
      </c>
    </row>
    <row r="5" spans="1:9" x14ac:dyDescent="0.3">
      <c r="A5" s="7">
        <v>4</v>
      </c>
      <c r="B5" s="7">
        <v>166</v>
      </c>
      <c r="C5" s="7">
        <v>22.4</v>
      </c>
      <c r="D5" s="7">
        <f t="shared" si="0"/>
        <v>27556</v>
      </c>
      <c r="E5" s="7">
        <f t="shared" si="1"/>
        <v>3718.3999999999996</v>
      </c>
      <c r="F5" s="7">
        <f t="shared" si="2"/>
        <v>501.75999999999993</v>
      </c>
    </row>
    <row r="6" spans="1:9" x14ac:dyDescent="0.3">
      <c r="A6" s="7">
        <v>5</v>
      </c>
      <c r="B6" s="7">
        <v>137</v>
      </c>
      <c r="C6" s="7">
        <v>28.4</v>
      </c>
      <c r="D6" s="7">
        <f t="shared" si="0"/>
        <v>18769</v>
      </c>
      <c r="E6" s="7">
        <f t="shared" si="1"/>
        <v>3890.7999999999997</v>
      </c>
      <c r="F6" s="7">
        <f t="shared" si="2"/>
        <v>806.56</v>
      </c>
    </row>
    <row r="7" spans="1:9" x14ac:dyDescent="0.3">
      <c r="A7" s="7">
        <v>6</v>
      </c>
      <c r="B7" s="7">
        <v>355</v>
      </c>
      <c r="C7" s="7">
        <v>65.900000000000006</v>
      </c>
      <c r="D7" s="7">
        <f t="shared" si="0"/>
        <v>126025</v>
      </c>
      <c r="E7" s="7">
        <f t="shared" si="1"/>
        <v>23394.500000000004</v>
      </c>
      <c r="F7" s="7">
        <f t="shared" si="2"/>
        <v>4342.8100000000004</v>
      </c>
    </row>
    <row r="8" spans="1:9" x14ac:dyDescent="0.3">
      <c r="A8" s="7">
        <v>7</v>
      </c>
      <c r="B8" s="7">
        <v>136</v>
      </c>
      <c r="C8" s="7">
        <v>19.399999999999999</v>
      </c>
      <c r="D8" s="7">
        <f t="shared" si="0"/>
        <v>18496</v>
      </c>
      <c r="E8" s="7">
        <f t="shared" si="1"/>
        <v>2638.3999999999996</v>
      </c>
      <c r="F8" s="7">
        <f t="shared" si="2"/>
        <v>376.35999999999996</v>
      </c>
    </row>
    <row r="9" spans="1:9" x14ac:dyDescent="0.3">
      <c r="A9" s="7">
        <v>8</v>
      </c>
      <c r="B9" s="7">
        <v>1206</v>
      </c>
      <c r="C9" s="7">
        <v>198.7</v>
      </c>
      <c r="D9" s="7">
        <f t="shared" si="0"/>
        <v>1454436</v>
      </c>
      <c r="E9" s="7">
        <f t="shared" si="1"/>
        <v>239632.19999999998</v>
      </c>
      <c r="F9" s="7">
        <f t="shared" si="2"/>
        <v>39481.689999999995</v>
      </c>
    </row>
    <row r="10" spans="1:9" x14ac:dyDescent="0.3">
      <c r="A10" s="7">
        <v>9</v>
      </c>
      <c r="B10" s="7">
        <v>433</v>
      </c>
      <c r="C10" s="7">
        <v>38.799999999999997</v>
      </c>
      <c r="D10" s="7">
        <f t="shared" si="0"/>
        <v>187489</v>
      </c>
      <c r="E10" s="7">
        <f t="shared" si="1"/>
        <v>16800.399999999998</v>
      </c>
      <c r="F10" s="7">
        <f t="shared" si="2"/>
        <v>1505.4399999999998</v>
      </c>
    </row>
    <row r="11" spans="1:9" x14ac:dyDescent="0.3">
      <c r="A11" s="7">
        <v>10</v>
      </c>
      <c r="B11" s="7">
        <v>1130</v>
      </c>
      <c r="C11" s="7">
        <v>138.19999999999999</v>
      </c>
      <c r="D11" s="7">
        <f t="shared" si="0"/>
        <v>1276900</v>
      </c>
      <c r="E11" s="7">
        <f t="shared" si="1"/>
        <v>156166</v>
      </c>
      <c r="F11" s="7">
        <f t="shared" si="2"/>
        <v>19099.239999999998</v>
      </c>
    </row>
    <row r="12" spans="1:9" x14ac:dyDescent="0.3">
      <c r="A12" s="7" t="s">
        <v>8</v>
      </c>
      <c r="B12" s="7">
        <f>SUM(B2:B11)</f>
        <v>4632</v>
      </c>
      <c r="C12" s="7">
        <f>SUM(C2:C11)</f>
        <v>603.20000000000005</v>
      </c>
      <c r="D12" s="7">
        <f>SUM(D2:D11)</f>
        <v>3741346</v>
      </c>
      <c r="E12" s="7">
        <f>SUM(E2:E11)</f>
        <v>503075.7</v>
      </c>
      <c r="F12" s="7">
        <f t="shared" ref="F12" si="3">SUM(F2:F11)</f>
        <v>71267.12</v>
      </c>
    </row>
    <row r="13" spans="1:9" x14ac:dyDescent="0.3">
      <c r="A13" s="7" t="s">
        <v>7</v>
      </c>
      <c r="B13" s="7">
        <f>AVERAGE(B2:B11)</f>
        <v>463.2</v>
      </c>
      <c r="C13" s="7">
        <f>AVERAGE(C2:C11)</f>
        <v>60.320000000000007</v>
      </c>
      <c r="D13" s="7">
        <f t="shared" ref="D13:F13" si="4">AVERAGE(D2:D11)</f>
        <v>374134.6</v>
      </c>
      <c r="E13" s="7">
        <f t="shared" si="4"/>
        <v>50307.57</v>
      </c>
      <c r="F13" s="7">
        <f t="shared" si="4"/>
        <v>7126.7119999999995</v>
      </c>
    </row>
    <row r="15" spans="1:9" x14ac:dyDescent="0.3">
      <c r="A15" t="s">
        <v>5</v>
      </c>
      <c r="B15">
        <f>SUM(E2:E11)</f>
        <v>503075.7</v>
      </c>
      <c r="C15">
        <f>AVERAGE(B2:B11)</f>
        <v>463.2</v>
      </c>
      <c r="D15">
        <f>SUM(C2:C11)</f>
        <v>603.20000000000005</v>
      </c>
      <c r="E15">
        <f>B15-(C15*D15)</f>
        <v>223673.46000000002</v>
      </c>
    </row>
    <row r="16" spans="1:9" x14ac:dyDescent="0.3">
      <c r="B16">
        <f>SUM(D2:D11)</f>
        <v>3741346</v>
      </c>
      <c r="C16">
        <f>B13*B13</f>
        <v>214554.23999999999</v>
      </c>
      <c r="E16">
        <f>B16-(10*C16)</f>
        <v>1595803.6</v>
      </c>
    </row>
    <row r="17" spans="1:10" x14ac:dyDescent="0.3">
      <c r="A17" t="s">
        <v>5</v>
      </c>
      <c r="B17">
        <f>E15/E16</f>
        <v>0.14016352638883633</v>
      </c>
    </row>
    <row r="19" spans="1:10" x14ac:dyDescent="0.3">
      <c r="A19" t="s">
        <v>6</v>
      </c>
      <c r="B19">
        <f>AVERAGE(C2:C11)</f>
        <v>60.320000000000007</v>
      </c>
      <c r="C19">
        <f>E15/E16</f>
        <v>0.14016352638883633</v>
      </c>
      <c r="D19">
        <f>AVERAGE(B2:B11)</f>
        <v>463.2</v>
      </c>
    </row>
    <row r="20" spans="1:10" x14ac:dyDescent="0.3">
      <c r="B20">
        <f>B19-(C19*D19)</f>
        <v>-4.603745423308979</v>
      </c>
    </row>
    <row r="22" spans="1:10" x14ac:dyDescent="0.3">
      <c r="A22" t="s">
        <v>9</v>
      </c>
      <c r="B22">
        <v>386</v>
      </c>
      <c r="C22" t="s">
        <v>10</v>
      </c>
    </row>
    <row r="23" spans="1:10" x14ac:dyDescent="0.3">
      <c r="A23" t="s">
        <v>11</v>
      </c>
      <c r="B23">
        <f>B19-(C19*D19)</f>
        <v>-4.603745423308979</v>
      </c>
      <c r="C23">
        <f>E15/E16</f>
        <v>0.14016352638883633</v>
      </c>
      <c r="D23">
        <v>386</v>
      </c>
      <c r="E23">
        <f>B23+C23*D23</f>
        <v>49.499375762781845</v>
      </c>
    </row>
    <row r="32" spans="1:10" x14ac:dyDescent="0.3">
      <c r="A32" s="6" t="s">
        <v>15</v>
      </c>
      <c r="B32" s="6">
        <f>A11</f>
        <v>10</v>
      </c>
      <c r="C32" s="6">
        <f>E12</f>
        <v>503075.7</v>
      </c>
      <c r="D32" s="6" t="s">
        <v>16</v>
      </c>
      <c r="E32" s="6">
        <f>B12</f>
        <v>4632</v>
      </c>
      <c r="F32" s="6">
        <f>C12</f>
        <v>603.20000000000005</v>
      </c>
      <c r="G32" s="6" t="s">
        <v>17</v>
      </c>
      <c r="H32" s="6">
        <f>(B32*C32)-(E32*F32)</f>
        <v>2236734.5999999996</v>
      </c>
      <c r="I32" s="6"/>
      <c r="J32" s="6"/>
    </row>
    <row r="33" spans="1:10" x14ac:dyDescent="0.3">
      <c r="A33" s="6"/>
      <c r="B33" s="6">
        <f>A11</f>
        <v>10</v>
      </c>
      <c r="C33" s="6">
        <f>D12</f>
        <v>3741346</v>
      </c>
      <c r="D33" s="6">
        <f>B12*B12</f>
        <v>21455424</v>
      </c>
      <c r="E33" s="6">
        <f>A11</f>
        <v>10</v>
      </c>
      <c r="F33" s="6">
        <f>F12</f>
        <v>71267.12</v>
      </c>
      <c r="G33" s="6">
        <f>C12*C12</f>
        <v>363850.24000000005</v>
      </c>
      <c r="H33" s="6" t="s">
        <v>17</v>
      </c>
      <c r="I33" s="6">
        <f>(B33*C33-D33)*(E33*F33-G33)</f>
        <v>5566497437234.5586</v>
      </c>
      <c r="J33" s="6">
        <f>SQRT(I33)</f>
        <v>2359342.5858138022</v>
      </c>
    </row>
    <row r="34" spans="1:10" x14ac:dyDescent="0.3">
      <c r="A34" s="6" t="s">
        <v>15</v>
      </c>
      <c r="B34" s="6">
        <f>H32/J33</f>
        <v>0.94803298743005071</v>
      </c>
      <c r="C34" s="6"/>
      <c r="D34" s="6"/>
      <c r="E34" s="6"/>
      <c r="F34" s="6"/>
      <c r="G34" s="6"/>
      <c r="H34" s="6"/>
      <c r="I34" s="6"/>
      <c r="J34" s="6"/>
    </row>
    <row r="37" spans="1:10" x14ac:dyDescent="0.3">
      <c r="A37" s="1" t="s">
        <v>18</v>
      </c>
      <c r="B37" s="1" t="s">
        <v>17</v>
      </c>
      <c r="C37" s="1">
        <f>B34*B34</f>
        <v>0.89876654525554667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Fernández</dc:creator>
  <cp:lastModifiedBy>DE LA CRUZ ARGUELLES JUAN CARLOS</cp:lastModifiedBy>
  <dcterms:created xsi:type="dcterms:W3CDTF">2025-11-19T20:09:23Z</dcterms:created>
  <dcterms:modified xsi:type="dcterms:W3CDTF">2025-11-26T21:02:59Z</dcterms:modified>
</cp:coreProperties>
</file>